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son\Desktop\BootCamp Santander Excel com IA\"/>
    </mc:Choice>
  </mc:AlternateContent>
  <xr:revisionPtr revIDLastSave="0" documentId="13_ncr:1_{612BEDD7-BFCE-4E1F-A0EF-2B3D22F4D2C4}" xr6:coauthVersionLast="47" xr6:coauthVersionMax="47" xr10:uidLastSave="{00000000-0000-0000-0000-000000000000}"/>
  <bookViews>
    <workbookView xWindow="9720" yWindow="0" windowWidth="10875" windowHeight="10905" tabRatio="610" firstSheet="1" activeTab="2" xr2:uid="{83845EF0-CD17-42F6-89E5-22C001C7251A}"/>
  </bookViews>
  <sheets>
    <sheet name="Perguntas de Negócio" sheetId="1" state="hidden" r:id="rId1"/>
    <sheet name="Dashboard" sheetId="2" r:id="rId2"/>
    <sheet name="FIIs Controls" sheetId="3" r:id="rId3"/>
    <sheet name="Tabelas de Apoio" sheetId="4" r:id="rId4"/>
  </sheets>
  <definedNames>
    <definedName name="aporte">'FIIs Controls'!$D$18</definedName>
    <definedName name="Dividendos_mensais">'FIIs Controls'!$D$22</definedName>
    <definedName name="patrimonio">'FIIs Controls'!$D$21</definedName>
    <definedName name="perfil">'FIIs Controls'!$C$33</definedName>
    <definedName name="perfil_investidor">'FIIs Controls'!$C$33</definedName>
    <definedName name="qtd_anos">'FIIs Controls'!$D$19</definedName>
    <definedName name="rendimento_carteira">'FIIs Controls'!$D$14</definedName>
    <definedName name="salario">'FIIs Controls'!$D$13</definedName>
    <definedName name="sugestao_investimento">'FIIs Controls'!$C$15</definedName>
    <definedName name="sungestao">'FIIs Controls'!$D$15</definedName>
    <definedName name="sungestao_investimento">'FIIs Controls'!$D$15</definedName>
    <definedName name="taxa_mensal">'FIIs Controls'!$D$20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D15" i="3"/>
  <c r="C38" i="3"/>
  <c r="D38" i="3" s="1"/>
  <c r="C39" i="3"/>
  <c r="C40" i="3"/>
  <c r="D40" i="3" s="1"/>
  <c r="C41" i="3"/>
  <c r="D41" i="3" s="1"/>
  <c r="C42" i="3"/>
  <c r="D42" i="3" s="1"/>
  <c r="C37" i="3"/>
  <c r="D37" i="3" s="1"/>
  <c r="H5" i="4"/>
  <c r="A11" i="4"/>
  <c r="A12" i="4"/>
  <c r="A13" i="4"/>
  <c r="A14" i="4"/>
  <c r="A15" i="4"/>
  <c r="A16" i="4"/>
  <c r="A17" i="4"/>
  <c r="A18" i="4"/>
  <c r="A19" i="4"/>
  <c r="A20" i="4"/>
  <c r="A21" i="4"/>
  <c r="A10" i="4"/>
  <c r="A5" i="4"/>
  <c r="A6" i="4"/>
  <c r="A7" i="4"/>
  <c r="A8" i="4"/>
  <c r="A9" i="4"/>
  <c r="A4" i="4"/>
  <c r="C34" i="3"/>
  <c r="D21" i="3"/>
  <c r="D22" i="3" s="1"/>
  <c r="C26" i="3"/>
  <c r="D26" i="3" s="1"/>
  <c r="C27" i="3"/>
  <c r="D27" i="3" s="1"/>
  <c r="C28" i="3"/>
  <c r="D28" i="3" s="1"/>
  <c r="C29" i="3"/>
  <c r="D29" i="3" s="1"/>
  <c r="C25" i="3"/>
  <c r="D25" i="3" s="1"/>
  <c r="D39" i="3" l="1"/>
  <c r="D43" i="3" s="1"/>
</calcChain>
</file>

<file path=xl/sharedStrings.xml><?xml version="1.0" encoding="utf-8"?>
<sst xmlns="http://schemas.openxmlformats.org/spreadsheetml/2006/main" count="77" uniqueCount="37">
  <si>
    <t>Quanto investir por mês ?</t>
  </si>
  <si>
    <t>Por Quantos Anos ?</t>
  </si>
  <si>
    <t>Taxa de Rendimento Mensal</t>
  </si>
  <si>
    <t>Quanto de Patrimônio Acumulado ?</t>
  </si>
  <si>
    <t>Quanto que é os Dividendos Mensais ?</t>
  </si>
  <si>
    <t>INVESTIMENTO MENSAL</t>
  </si>
  <si>
    <t>Patrimônio Acumulado ?</t>
  </si>
  <si>
    <t>Dividendos Mensais ?</t>
  </si>
  <si>
    <t>Cenários</t>
  </si>
  <si>
    <t>Quantos em 2 Anos ?</t>
  </si>
  <si>
    <t>Quantos em 5 Anos ?</t>
  </si>
  <si>
    <t>Quantos em 10 Anos ?</t>
  </si>
  <si>
    <t>Quantos em 20 Anos ?</t>
  </si>
  <si>
    <t>Quantos em 30 Anos ?</t>
  </si>
  <si>
    <t>Dividendos</t>
  </si>
  <si>
    <t>Salario</t>
  </si>
  <si>
    <t>Rendimento Carteira</t>
  </si>
  <si>
    <t>CONFIGURAÇÕES</t>
  </si>
  <si>
    <t>Moderado</t>
  </si>
  <si>
    <t>VALOR A SER INVESTIDO POR MÊS</t>
  </si>
  <si>
    <t>PERFIL</t>
  </si>
  <si>
    <t>TIPO DE FII</t>
  </si>
  <si>
    <t>Percentual Surgerido</t>
  </si>
  <si>
    <t>Valores</t>
  </si>
  <si>
    <t>PAPEL</t>
  </si>
  <si>
    <t>TIJOLO</t>
  </si>
  <si>
    <t>HÍBRIDO</t>
  </si>
  <si>
    <t>FOFs</t>
  </si>
  <si>
    <t>DESENVOLVIMENTO</t>
  </si>
  <si>
    <t>HOTELARIAS</t>
  </si>
  <si>
    <t>%</t>
  </si>
  <si>
    <t>Conservador</t>
  </si>
  <si>
    <t>CHAVE</t>
  </si>
  <si>
    <t>Agressivo</t>
  </si>
  <si>
    <t>Moderado-TIJOLO</t>
  </si>
  <si>
    <t xml:space="preserve">Sugentão de Investimento </t>
  </si>
  <si>
    <t>total do 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</si>
</sst>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2">
    <xf numFmtId="0" fontId="0" fillId="0" borderId="0"/>
    <xf numFmtId="0" fontId="8" fillId="6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8" fontId="1" fillId="3" borderId="2" xfId="0" applyNumberFormat="1" applyFont="1" applyFill="1" applyBorder="1" applyAlignment="1">
      <alignment horizontal="center"/>
    </xf>
    <xf numFmtId="8" fontId="1" fillId="3" borderId="4" xfId="0" applyNumberFormat="1" applyFont="1" applyFill="1" applyBorder="1" applyAlignment="1">
      <alignment horizontal="center"/>
    </xf>
    <xf numFmtId="0" fontId="2" fillId="0" borderId="0" xfId="0" applyFont="1"/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6" fillId="5" borderId="3" xfId="0" applyFont="1" applyFill="1" applyBorder="1" applyAlignment="1">
      <alignment horizontal="left" indent="4"/>
    </xf>
    <xf numFmtId="0" fontId="6" fillId="3" borderId="1" xfId="0" applyFont="1" applyFill="1" applyBorder="1" applyAlignment="1">
      <alignment horizontal="left" indent="4"/>
    </xf>
    <xf numFmtId="0" fontId="6" fillId="3" borderId="3" xfId="0" applyFont="1" applyFill="1" applyBorder="1" applyAlignment="1">
      <alignment horizontal="left" indent="4"/>
    </xf>
    <xf numFmtId="164" fontId="0" fillId="5" borderId="4" xfId="0" applyNumberFormat="1" applyFill="1" applyBorder="1" applyAlignment="1">
      <alignment horizontal="center"/>
    </xf>
    <xf numFmtId="0" fontId="8" fillId="6" borderId="0" xfId="1"/>
    <xf numFmtId="9" fontId="0" fillId="0" borderId="0" xfId="0" applyNumberFormat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8" fillId="6" borderId="0" xfId="1" applyNumberFormat="1"/>
    <xf numFmtId="0" fontId="8" fillId="6" borderId="11" xfId="1" applyBorder="1"/>
    <xf numFmtId="0" fontId="8" fillId="6" borderId="12" xfId="1" applyBorder="1" applyAlignment="1">
      <alignment horizontal="center"/>
    </xf>
    <xf numFmtId="0" fontId="8" fillId="6" borderId="13" xfId="1" applyBorder="1"/>
    <xf numFmtId="0" fontId="1" fillId="3" borderId="14" xfId="0" applyFont="1" applyFill="1" applyBorder="1"/>
    <xf numFmtId="164" fontId="1" fillId="3" borderId="0" xfId="0" applyNumberFormat="1" applyFont="1" applyFill="1" applyAlignment="1">
      <alignment horizontal="center"/>
    </xf>
    <xf numFmtId="0" fontId="0" fillId="3" borderId="15" xfId="0" applyFill="1" applyBorder="1"/>
    <xf numFmtId="0" fontId="0" fillId="0" borderId="14" xfId="0" applyBorder="1"/>
    <xf numFmtId="0" fontId="0" fillId="0" borderId="15" xfId="0" applyBorder="1"/>
    <xf numFmtId="0" fontId="1" fillId="7" borderId="16" xfId="0" applyFont="1" applyFill="1" applyBorder="1" applyAlignment="1">
      <alignment horizontal="center"/>
    </xf>
    <xf numFmtId="9" fontId="0" fillId="5" borderId="17" xfId="0" applyNumberForma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164" fontId="0" fillId="5" borderId="21" xfId="0" applyNumberFormat="1" applyFill="1" applyBorder="1" applyAlignment="1">
      <alignment horizontal="center"/>
    </xf>
    <xf numFmtId="0" fontId="0" fillId="7" borderId="22" xfId="0" applyFill="1" applyBorder="1"/>
    <xf numFmtId="0" fontId="0" fillId="7" borderId="23" xfId="0" applyFill="1" applyBorder="1"/>
    <xf numFmtId="164" fontId="1" fillId="7" borderId="24" xfId="0" applyNumberFormat="1" applyFont="1" applyFill="1" applyBorder="1" applyAlignment="1">
      <alignment horizontal="center"/>
    </xf>
    <xf numFmtId="0" fontId="9" fillId="8" borderId="0" xfId="0" applyFont="1" applyFill="1"/>
    <xf numFmtId="0" fontId="9" fillId="8" borderId="0" xfId="0" applyFont="1" applyFill="1" applyAlignment="1">
      <alignment horizontal="center"/>
    </xf>
    <xf numFmtId="9" fontId="6" fillId="5" borderId="6" xfId="0" applyNumberFormat="1" applyFont="1" applyFill="1" applyBorder="1" applyAlignment="1">
      <alignment horizontal="center"/>
    </xf>
    <xf numFmtId="164" fontId="2" fillId="0" borderId="0" xfId="0" applyNumberFormat="1" applyFont="1"/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indent="4"/>
    </xf>
    <xf numFmtId="0" fontId="6" fillId="5" borderId="5" xfId="0" applyFont="1" applyFill="1" applyBorder="1" applyAlignment="1">
      <alignment horizontal="left" indent="4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indent="4"/>
    </xf>
    <xf numFmtId="0" fontId="7" fillId="3" borderId="5" xfId="0" applyFont="1" applyFill="1" applyBorder="1" applyAlignment="1">
      <alignment horizontal="left" indent="4"/>
    </xf>
    <xf numFmtId="0" fontId="7" fillId="3" borderId="3" xfId="0" applyFont="1" applyFill="1" applyBorder="1" applyAlignment="1">
      <alignment horizontal="left" indent="4"/>
    </xf>
    <xf numFmtId="0" fontId="7" fillId="3" borderId="6" xfId="0" applyFont="1" applyFill="1" applyBorder="1" applyAlignment="1">
      <alignment horizontal="left" indent="4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177812773403326"/>
          <c:y val="0.10330914652002733"/>
          <c:w val="0.33644346456692914"/>
          <c:h val="0.610974969902059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3-40F5-BF7A-B6DCE26139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73-40F5-BF7A-B6DCE26139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73-40F5-BF7A-B6DCE26139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73-40F5-BF7A-B6DCE26139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73-40F5-BF7A-B6DCE26139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73-40F5-BF7A-B6DCE26139B6}"/>
              </c:ext>
            </c:extLst>
          </c:dPt>
          <c:dLbls>
            <c:dLbl>
              <c:idx val="0"/>
              <c:layout>
                <c:manualLayout>
                  <c:x val="0.11723713118977645"/>
                  <c:y val="2.035522956890662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860542432195979E-2"/>
                      <c:h val="9.11804900270068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573-40F5-BF7A-B6DCE26139B6}"/>
                </c:ext>
              </c:extLst>
            </c:dLbl>
            <c:dLbl>
              <c:idx val="1"/>
              <c:layout>
                <c:manualLayout>
                  <c:x val="8.8816008477103373E-2"/>
                  <c:y val="7.586092834286108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860542432195979E-2"/>
                      <c:h val="9.11804900270068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573-40F5-BF7A-B6DCE26139B6}"/>
                </c:ext>
              </c:extLst>
            </c:dLbl>
            <c:dLbl>
              <c:idx val="2"/>
              <c:layout>
                <c:manualLayout>
                  <c:x val="-3.9079065457485268E-2"/>
                  <c:y val="6.233770234924063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804827450776331E-2"/>
                      <c:h val="0.118577643547981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573-40F5-BF7A-B6DCE26139B6}"/>
                </c:ext>
              </c:extLst>
            </c:dLbl>
            <c:dLbl>
              <c:idx val="3"/>
              <c:layout>
                <c:manualLayout>
                  <c:x val="-9.9473951221915546E-2"/>
                  <c:y val="2.403546958039153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910108128944622E-2"/>
                      <c:h val="0.104879013410994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573-40F5-BF7A-B6DCE26139B6}"/>
                </c:ext>
              </c:extLst>
            </c:dLbl>
            <c:dLbl>
              <c:idx val="4"/>
              <c:layout>
                <c:manualLayout>
                  <c:x val="-9.592128915527165E-2"/>
                  <c:y val="-1.064178621507927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860542432195979E-2"/>
                      <c:h val="9.11804900270068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573-40F5-BF7A-B6DCE26139B6}"/>
                </c:ext>
              </c:extLst>
            </c:dLbl>
            <c:dLbl>
              <c:idx val="5"/>
              <c:layout>
                <c:manualLayout>
                  <c:x val="-7.1052806781682701E-3"/>
                  <c:y val="-2.15658145471542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860542432195979E-2"/>
                      <c:h val="9.11804900270068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573-40F5-BF7A-B6DCE26139B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'FIIs Controls'!$B$37:$B$42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'FIIs Controls'!$C$37:$C$42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73-40F5-BF7A-B6DCE26139B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573-40F5-BF7A-B6DCE26139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573-40F5-BF7A-B6DCE26139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573-40F5-BF7A-B6DCE26139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573-40F5-BF7A-B6DCE26139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573-40F5-BF7A-B6DCE26139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573-40F5-BF7A-B6DCE26139B6}"/>
              </c:ext>
            </c:extLst>
          </c:dPt>
          <c:cat>
            <c:strRef>
              <c:f>'FIIs Controls'!$B$37:$B$42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'FIIs Controls'!$D$37:$D$42</c:f>
              <c:numCache>
                <c:formatCode>"R$"\ #,##0.00</c:formatCode>
                <c:ptCount val="6"/>
                <c:pt idx="0">
                  <c:v>592.5</c:v>
                </c:pt>
                <c:pt idx="1">
                  <c:v>118.5</c:v>
                </c:pt>
                <c:pt idx="2">
                  <c:v>59.25</c:v>
                </c:pt>
                <c:pt idx="3">
                  <c:v>59.25</c:v>
                </c:pt>
                <c:pt idx="4">
                  <c:v>237</c:v>
                </c:pt>
                <c:pt idx="5">
                  <c:v>118.5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573-40F5-BF7A-B6DCE2613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944290683186727E-2"/>
          <c:y val="0.90592133175133926"/>
          <c:w val="0.95720802751254197"/>
          <c:h val="9.4078668248660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 rot="5400000" vert="horz" anchor="ctr" anchorCtr="0"/>
    <a:lstStyle/>
    <a:p>
      <a:pPr>
        <a:defRPr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47625</xdr:rowOff>
    </xdr:from>
    <xdr:to>
      <xdr:col>6</xdr:col>
      <xdr:colOff>126756</xdr:colOff>
      <xdr:row>15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26DF07-8B55-4F49-BFE1-CD892299B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342899</xdr:colOff>
      <xdr:row>0</xdr:row>
      <xdr:rowOff>171450</xdr:rowOff>
    </xdr:from>
    <xdr:to>
      <xdr:col>4</xdr:col>
      <xdr:colOff>57150</xdr:colOff>
      <xdr:row>9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B1D7AC-3588-5D8F-6EB9-6291EFB78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682" b="68199"/>
        <a:stretch>
          <a:fillRect/>
        </a:stretch>
      </xdr:blipFill>
      <xdr:spPr>
        <a:xfrm>
          <a:off x="342899" y="171450"/>
          <a:ext cx="6705601" cy="1647825"/>
        </a:xfrm>
        <a:prstGeom prst="rect">
          <a:avLst/>
        </a:prstGeom>
        <a:ln>
          <a:noFill/>
        </a:ln>
        <a:effectLst>
          <a:glow rad="139700">
            <a:schemeClr val="accent1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24EA-9721-4845-88C9-E9542B8F6B5F}">
  <dimension ref="B2:C7"/>
  <sheetViews>
    <sheetView workbookViewId="0">
      <selection activeCell="B7" sqref="B7"/>
    </sheetView>
  </sheetViews>
  <sheetFormatPr defaultRowHeight="15" x14ac:dyDescent="0.25"/>
  <sheetData>
    <row r="2" spans="2:3" x14ac:dyDescent="0.25">
      <c r="B2" s="1">
        <v>1</v>
      </c>
      <c r="C2" t="s">
        <v>0</v>
      </c>
    </row>
    <row r="3" spans="2:3" x14ac:dyDescent="0.25">
      <c r="B3" s="1">
        <v>2</v>
      </c>
      <c r="C3" t="s">
        <v>1</v>
      </c>
    </row>
    <row r="4" spans="2:3" x14ac:dyDescent="0.25">
      <c r="B4" s="1">
        <v>3</v>
      </c>
      <c r="C4" t="s">
        <v>2</v>
      </c>
    </row>
    <row r="5" spans="2:3" x14ac:dyDescent="0.25">
      <c r="B5" s="1">
        <v>4</v>
      </c>
      <c r="C5" t="s">
        <v>3</v>
      </c>
    </row>
    <row r="6" spans="2:3" x14ac:dyDescent="0.25">
      <c r="B6" s="1">
        <v>5</v>
      </c>
      <c r="C6" t="s">
        <v>4</v>
      </c>
    </row>
    <row r="7" spans="2:3" x14ac:dyDescent="0.25">
      <c r="B7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F4F-2EBB-4B9B-A8CE-5CEEF2DC199A}">
  <dimension ref="A1"/>
  <sheetViews>
    <sheetView showGridLines="0" showRowColHeaders="0" workbookViewId="0">
      <selection activeCell="I8" sqref="I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ECE0-8DBC-4698-A6FF-AA4A6A127C17}">
  <sheetPr>
    <tabColor theme="7" tint="0.39997558519241921"/>
  </sheetPr>
  <dimension ref="A11:H68"/>
  <sheetViews>
    <sheetView showGridLines="0" showRowColHeaders="0" tabSelected="1" topLeftCell="C6" zoomScaleNormal="100" workbookViewId="0">
      <selection activeCell="G26" sqref="G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5.7109375" customWidth="1"/>
    <col min="2" max="3" width="43.7109375" customWidth="1"/>
    <col min="4" max="5" width="11.7109375" bestFit="1" customWidth="1"/>
    <col min="6" max="8" width="3.7109375" customWidth="1"/>
    <col min="9" max="16384" width="9.140625" hidden="1"/>
  </cols>
  <sheetData>
    <row r="11" spans="2:4" ht="15.75" thickBot="1" x14ac:dyDescent="0.3"/>
    <row r="12" spans="2:4" ht="24" x14ac:dyDescent="0.25">
      <c r="B12" s="46" t="s">
        <v>17</v>
      </c>
      <c r="C12" s="47"/>
      <c r="D12" s="48"/>
    </row>
    <row r="13" spans="2:4" ht="15.75" x14ac:dyDescent="0.25">
      <c r="B13" s="49" t="s">
        <v>15</v>
      </c>
      <c r="C13" s="50"/>
      <c r="D13" s="13">
        <v>3950</v>
      </c>
    </row>
    <row r="14" spans="2:4" ht="15.75" x14ac:dyDescent="0.25">
      <c r="B14" s="49" t="s">
        <v>16</v>
      </c>
      <c r="C14" s="50"/>
      <c r="D14" s="14">
        <v>6.0000000000000001E-3</v>
      </c>
    </row>
    <row r="15" spans="2:4" ht="16.5" thickBot="1" x14ac:dyDescent="0.3">
      <c r="B15" s="15" t="s">
        <v>35</v>
      </c>
      <c r="C15" s="44">
        <v>0.3</v>
      </c>
      <c r="D15" s="18">
        <f>salario*sugestao_investimento</f>
        <v>1185</v>
      </c>
    </row>
    <row r="16" spans="2:4" ht="15.75" thickBot="1" x14ac:dyDescent="0.3"/>
    <row r="17" spans="1:5" ht="28.5" customHeight="1" x14ac:dyDescent="0.25">
      <c r="B17" s="51" t="s">
        <v>5</v>
      </c>
      <c r="C17" s="52"/>
      <c r="D17" s="53"/>
    </row>
    <row r="18" spans="1:5" ht="15.75" x14ac:dyDescent="0.25">
      <c r="B18" s="49" t="s">
        <v>0</v>
      </c>
      <c r="C18" s="50"/>
      <c r="D18" s="12">
        <v>1185</v>
      </c>
    </row>
    <row r="19" spans="1:5" ht="15.75" x14ac:dyDescent="0.25">
      <c r="B19" s="49" t="s">
        <v>1</v>
      </c>
      <c r="C19" s="50"/>
      <c r="D19" s="2">
        <v>5</v>
      </c>
    </row>
    <row r="20" spans="1:5" ht="15.75" x14ac:dyDescent="0.25">
      <c r="B20" s="49" t="s">
        <v>2</v>
      </c>
      <c r="C20" s="50"/>
      <c r="D20" s="3">
        <v>1.0789999999999999E-2</v>
      </c>
      <c r="E20" s="6" t="s">
        <v>36</v>
      </c>
    </row>
    <row r="21" spans="1:5" ht="15.75" x14ac:dyDescent="0.25">
      <c r="B21" s="54" t="s">
        <v>6</v>
      </c>
      <c r="C21" s="55"/>
      <c r="D21" s="4">
        <f>FV(taxa_mensal,qtd_anos*12,aporte*-1)</f>
        <v>99275.643088207857</v>
      </c>
      <c r="E21" s="45">
        <f>aporte*(qtd_anos*12)</f>
        <v>71100</v>
      </c>
    </row>
    <row r="22" spans="1:5" ht="16.5" thickBot="1" x14ac:dyDescent="0.3">
      <c r="B22" s="56" t="s">
        <v>7</v>
      </c>
      <c r="C22" s="57"/>
      <c r="D22" s="5">
        <f>patrimonio*rendimento_carteira</f>
        <v>595.65385852924715</v>
      </c>
    </row>
    <row r="23" spans="1:5" ht="15.75" thickBot="1" x14ac:dyDescent="0.3"/>
    <row r="24" spans="1:5" ht="26.25" x14ac:dyDescent="0.25">
      <c r="B24" s="51" t="s">
        <v>8</v>
      </c>
      <c r="C24" s="52"/>
      <c r="D24" s="11" t="s">
        <v>14</v>
      </c>
    </row>
    <row r="25" spans="1:5" ht="15.75" x14ac:dyDescent="0.25">
      <c r="A25" s="6">
        <v>2</v>
      </c>
      <c r="B25" s="16" t="s">
        <v>9</v>
      </c>
      <c r="C25" s="7">
        <f>FV($D$20,$A25*12,$D$18*-1)</f>
        <v>32264.738347709583</v>
      </c>
      <c r="D25" s="9">
        <f>C25*rendimento_carteira</f>
        <v>193.58843008625749</v>
      </c>
    </row>
    <row r="26" spans="1:5" ht="15.75" x14ac:dyDescent="0.25">
      <c r="A26" s="6">
        <v>5</v>
      </c>
      <c r="B26" s="16" t="s">
        <v>10</v>
      </c>
      <c r="C26" s="7">
        <f>FV($D$20,$A26*12,$D$18*-1)</f>
        <v>99275.643088207857</v>
      </c>
      <c r="D26" s="9">
        <f>C26*rendimento_carteira</f>
        <v>595.65385852924715</v>
      </c>
    </row>
    <row r="27" spans="1:5" ht="15.75" x14ac:dyDescent="0.25">
      <c r="A27" s="6">
        <v>10</v>
      </c>
      <c r="B27" s="16" t="s">
        <v>11</v>
      </c>
      <c r="C27" s="7">
        <f>FV($D$20,$A27*12,$D$18*-1)</f>
        <v>288291.79184825404</v>
      </c>
      <c r="D27" s="9">
        <f>C27*rendimento_carteira</f>
        <v>1729.7507510895243</v>
      </c>
    </row>
    <row r="28" spans="1:5" ht="15.75" x14ac:dyDescent="0.25">
      <c r="A28" s="6">
        <v>20</v>
      </c>
      <c r="B28" s="16" t="s">
        <v>12</v>
      </c>
      <c r="C28" s="7">
        <f>FV($D$20,$A28*12,$D$18*-1)</f>
        <v>1333360.1041150405</v>
      </c>
      <c r="D28" s="9">
        <f>C28*rendimento_carteira</f>
        <v>8000.1606246902429</v>
      </c>
    </row>
    <row r="29" spans="1:5" ht="16.5" thickBot="1" x14ac:dyDescent="0.3">
      <c r="A29" s="6">
        <v>30</v>
      </c>
      <c r="B29" s="17" t="s">
        <v>13</v>
      </c>
      <c r="C29" s="8">
        <f>FV($D$20,$A29*12,$D$18*-1)</f>
        <v>5121771.0411805864</v>
      </c>
      <c r="D29" s="10">
        <f>C29*rendimento_carteira</f>
        <v>30730.626247083521</v>
      </c>
    </row>
    <row r="32" spans="1:5" ht="15.75" thickBot="1" x14ac:dyDescent="0.3"/>
    <row r="33" spans="2:4" x14ac:dyDescent="0.25">
      <c r="B33" s="25" t="s">
        <v>20</v>
      </c>
      <c r="C33" s="26" t="s">
        <v>33</v>
      </c>
      <c r="D33" s="27"/>
    </row>
    <row r="34" spans="2:4" x14ac:dyDescent="0.25">
      <c r="B34" s="28" t="s">
        <v>19</v>
      </c>
      <c r="C34" s="29">
        <f>aporte</f>
        <v>1185</v>
      </c>
      <c r="D34" s="30"/>
    </row>
    <row r="35" spans="2:4" x14ac:dyDescent="0.25">
      <c r="B35" s="31"/>
      <c r="D35" s="32"/>
    </row>
    <row r="36" spans="2:4" x14ac:dyDescent="0.25">
      <c r="B36" s="35" t="s">
        <v>21</v>
      </c>
      <c r="C36" s="33" t="s">
        <v>22</v>
      </c>
      <c r="D36" s="36" t="s">
        <v>23</v>
      </c>
    </row>
    <row r="37" spans="2:4" x14ac:dyDescent="0.25">
      <c r="B37" s="37" t="s">
        <v>24</v>
      </c>
      <c r="C37" s="34">
        <f>VLOOKUP(perfil_investidor&amp;"-"&amp;B37,'Tabelas de Apoio'!$A:$D,4,FALSE)</f>
        <v>0.5</v>
      </c>
      <c r="D37" s="38">
        <f>C37*$C$34</f>
        <v>592.5</v>
      </c>
    </row>
    <row r="38" spans="2:4" x14ac:dyDescent="0.25">
      <c r="B38" s="37" t="s">
        <v>25</v>
      </c>
      <c r="C38" s="34">
        <f>VLOOKUP(perfil_investidor&amp;"-"&amp;B38,'Tabelas de Apoio'!$A:$D,4,FALSE)</f>
        <v>0.1</v>
      </c>
      <c r="D38" s="38">
        <f t="shared" ref="D38:D42" si="0">C38*$C$34</f>
        <v>118.5</v>
      </c>
    </row>
    <row r="39" spans="2:4" x14ac:dyDescent="0.25">
      <c r="B39" s="37" t="s">
        <v>26</v>
      </c>
      <c r="C39" s="34">
        <f>VLOOKUP(perfil_investidor&amp;"-"&amp;B39,'Tabelas de Apoio'!$A:$D,4,FALSE)</f>
        <v>0.05</v>
      </c>
      <c r="D39" s="38">
        <f t="shared" si="0"/>
        <v>59.25</v>
      </c>
    </row>
    <row r="40" spans="2:4" x14ac:dyDescent="0.25">
      <c r="B40" s="37" t="s">
        <v>27</v>
      </c>
      <c r="C40" s="34">
        <f>VLOOKUP(perfil_investidor&amp;"-"&amp;B40,'Tabelas de Apoio'!$A:$D,4,FALSE)</f>
        <v>0.05</v>
      </c>
      <c r="D40" s="38">
        <f t="shared" si="0"/>
        <v>59.25</v>
      </c>
    </row>
    <row r="41" spans="2:4" x14ac:dyDescent="0.25">
      <c r="B41" s="37" t="s">
        <v>28</v>
      </c>
      <c r="C41" s="34">
        <f>VLOOKUP(perfil_investidor&amp;"-"&amp;B41,'Tabelas de Apoio'!$A:$D,4,FALSE)</f>
        <v>0.2</v>
      </c>
      <c r="D41" s="38">
        <f t="shared" si="0"/>
        <v>237</v>
      </c>
    </row>
    <row r="42" spans="2:4" x14ac:dyDescent="0.25">
      <c r="B42" s="37" t="s">
        <v>29</v>
      </c>
      <c r="C42" s="34">
        <f>VLOOKUP(perfil_investidor&amp;"-"&amp;B42,'Tabelas de Apoio'!$A:$D,4,FALSE)</f>
        <v>0.1</v>
      </c>
      <c r="D42" s="38">
        <f t="shared" si="0"/>
        <v>118.5</v>
      </c>
    </row>
    <row r="43" spans="2:4" ht="15.75" thickBot="1" x14ac:dyDescent="0.3">
      <c r="B43" s="39"/>
      <c r="C43" s="40"/>
      <c r="D43" s="41">
        <f>SUM(D37:D42)</f>
        <v>1185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</sheetData>
  <mergeCells count="10">
    <mergeCell ref="B12:D12"/>
    <mergeCell ref="B13:C13"/>
    <mergeCell ref="B14:C14"/>
    <mergeCell ref="B17:D17"/>
    <mergeCell ref="B24:C24"/>
    <mergeCell ref="B18:C18"/>
    <mergeCell ref="B19:C19"/>
    <mergeCell ref="B20:C20"/>
    <mergeCell ref="B21:C21"/>
    <mergeCell ref="B22:C22"/>
  </mergeCells>
  <dataValidations count="2">
    <dataValidation type="list" allowBlank="1" showInputMessage="1" showErrorMessage="1" sqref="C33" xr:uid="{B8052F1C-6E26-423A-AB49-405D9E037587}">
      <formula1>"Conservador,Moderado,Agressivo"</formula1>
    </dataValidation>
    <dataValidation type="list" allowBlank="1" showInputMessage="1" showErrorMessage="1" sqref="C15" xr:uid="{75A66DE6-1FA0-4A17-9582-9B0A092A01BB}">
      <formula1>"30%,25%,20%,15%,10%"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8B5C-03C2-4256-B694-20CCD7034BB4}">
  <dimension ref="A3:H21"/>
  <sheetViews>
    <sheetView topLeftCell="A2" workbookViewId="0">
      <selection activeCell="H5" sqref="H5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3" spans="1:8" x14ac:dyDescent="0.25">
      <c r="A3" s="42" t="s">
        <v>32</v>
      </c>
      <c r="B3" s="43" t="s">
        <v>20</v>
      </c>
      <c r="C3" s="43" t="s">
        <v>21</v>
      </c>
      <c r="D3" s="43" t="s">
        <v>30</v>
      </c>
    </row>
    <row r="4" spans="1:8" x14ac:dyDescent="0.25">
      <c r="A4" t="str">
        <f>B4&amp;"-"&amp;C4</f>
        <v>Conservador-PAPEL</v>
      </c>
      <c r="B4" s="1" t="s">
        <v>31</v>
      </c>
      <c r="C4" s="1" t="s">
        <v>24</v>
      </c>
      <c r="D4" s="20">
        <v>0.3</v>
      </c>
      <c r="H4" t="s">
        <v>30</v>
      </c>
    </row>
    <row r="5" spans="1:8" x14ac:dyDescent="0.25">
      <c r="A5" t="str">
        <f t="shared" ref="A5:A21" si="0">B5&amp;"-"&amp;C5</f>
        <v>Conservador-TIJOLO</v>
      </c>
      <c r="B5" s="1" t="s">
        <v>31</v>
      </c>
      <c r="C5" s="1" t="s">
        <v>25</v>
      </c>
      <c r="D5" s="20">
        <v>0.5</v>
      </c>
      <c r="G5" s="19" t="s">
        <v>34</v>
      </c>
      <c r="H5" s="24">
        <f>VLOOKUP(G5,$A:$D,4,)</f>
        <v>0.35</v>
      </c>
    </row>
    <row r="6" spans="1:8" x14ac:dyDescent="0.25">
      <c r="A6" t="str">
        <f t="shared" si="0"/>
        <v>Conservador-HÍBRIDO</v>
      </c>
      <c r="B6" s="1" t="s">
        <v>31</v>
      </c>
      <c r="C6" s="1" t="s">
        <v>26</v>
      </c>
      <c r="D6" s="20">
        <v>0.1</v>
      </c>
    </row>
    <row r="7" spans="1:8" x14ac:dyDescent="0.25">
      <c r="A7" t="str">
        <f t="shared" si="0"/>
        <v>Conservador-FOFs</v>
      </c>
      <c r="B7" s="1" t="s">
        <v>31</v>
      </c>
      <c r="C7" s="1" t="s">
        <v>27</v>
      </c>
      <c r="D7" s="20">
        <v>0.1</v>
      </c>
    </row>
    <row r="8" spans="1:8" x14ac:dyDescent="0.25">
      <c r="A8" t="str">
        <f t="shared" si="0"/>
        <v>Conservador-DESENVOLVIMENTO</v>
      </c>
      <c r="B8" s="1" t="s">
        <v>31</v>
      </c>
      <c r="C8" s="1" t="s">
        <v>28</v>
      </c>
      <c r="D8" s="20">
        <v>0</v>
      </c>
    </row>
    <row r="9" spans="1:8" ht="15.75" thickBot="1" x14ac:dyDescent="0.3">
      <c r="A9" s="21" t="str">
        <f t="shared" si="0"/>
        <v>Conservador-HOTELARIAS</v>
      </c>
      <c r="B9" s="22" t="s">
        <v>31</v>
      </c>
      <c r="C9" s="22" t="s">
        <v>29</v>
      </c>
      <c r="D9" s="23">
        <v>0</v>
      </c>
    </row>
    <row r="10" spans="1:8" x14ac:dyDescent="0.25">
      <c r="A10" t="str">
        <f t="shared" si="0"/>
        <v>Moderado-PAPEL</v>
      </c>
      <c r="B10" s="1" t="s">
        <v>18</v>
      </c>
      <c r="C10" s="1" t="s">
        <v>24</v>
      </c>
      <c r="D10" s="20">
        <v>0.32</v>
      </c>
    </row>
    <row r="11" spans="1:8" x14ac:dyDescent="0.25">
      <c r="A11" t="str">
        <f t="shared" si="0"/>
        <v>Moderado-TIJOLO</v>
      </c>
      <c r="B11" t="s">
        <v>18</v>
      </c>
      <c r="C11" s="1" t="s">
        <v>25</v>
      </c>
      <c r="D11" s="20">
        <v>0.35</v>
      </c>
    </row>
    <row r="12" spans="1:8" x14ac:dyDescent="0.25">
      <c r="A12" t="str">
        <f t="shared" si="0"/>
        <v>Moderado-HÍBRIDO</v>
      </c>
      <c r="B12" t="s">
        <v>18</v>
      </c>
      <c r="C12" s="1" t="s">
        <v>26</v>
      </c>
      <c r="D12" s="20">
        <v>0.08</v>
      </c>
    </row>
    <row r="13" spans="1:8" x14ac:dyDescent="0.25">
      <c r="A13" t="str">
        <f t="shared" si="0"/>
        <v>Moderado-FOFs</v>
      </c>
      <c r="B13" t="s">
        <v>18</v>
      </c>
      <c r="C13" s="1" t="s">
        <v>27</v>
      </c>
      <c r="D13" s="20">
        <v>0.05</v>
      </c>
    </row>
    <row r="14" spans="1:8" x14ac:dyDescent="0.25">
      <c r="A14" t="str">
        <f t="shared" si="0"/>
        <v>Moderado-DESENVOLVIMENTO</v>
      </c>
      <c r="B14" t="s">
        <v>18</v>
      </c>
      <c r="C14" s="1" t="s">
        <v>28</v>
      </c>
      <c r="D14" s="20">
        <v>0.1</v>
      </c>
    </row>
    <row r="15" spans="1:8" ht="15.75" thickBot="1" x14ac:dyDescent="0.3">
      <c r="A15" s="21" t="str">
        <f t="shared" si="0"/>
        <v>Moderado-HOTELARIAS</v>
      </c>
      <c r="B15" s="21" t="s">
        <v>18</v>
      </c>
      <c r="C15" s="22" t="s">
        <v>29</v>
      </c>
      <c r="D15" s="23">
        <v>0.1</v>
      </c>
    </row>
    <row r="16" spans="1:8" x14ac:dyDescent="0.25">
      <c r="A16" t="str">
        <f t="shared" si="0"/>
        <v>Agressivo-PAPEL</v>
      </c>
      <c r="B16" t="s">
        <v>33</v>
      </c>
      <c r="C16" s="1" t="s">
        <v>24</v>
      </c>
      <c r="D16" s="20">
        <v>0.5</v>
      </c>
    </row>
    <row r="17" spans="1:4" x14ac:dyDescent="0.25">
      <c r="A17" t="str">
        <f t="shared" si="0"/>
        <v>Agressivo-TIJOLO</v>
      </c>
      <c r="B17" t="s">
        <v>33</v>
      </c>
      <c r="C17" s="1" t="s">
        <v>25</v>
      </c>
      <c r="D17" s="20">
        <v>0.1</v>
      </c>
    </row>
    <row r="18" spans="1:4" x14ac:dyDescent="0.25">
      <c r="A18" t="str">
        <f t="shared" si="0"/>
        <v>Agressivo-HÍBRIDO</v>
      </c>
      <c r="B18" t="s">
        <v>33</v>
      </c>
      <c r="C18" s="1" t="s">
        <v>26</v>
      </c>
      <c r="D18" s="20">
        <v>0.05</v>
      </c>
    </row>
    <row r="19" spans="1:4" x14ac:dyDescent="0.25">
      <c r="A19" t="str">
        <f t="shared" si="0"/>
        <v>Agressivo-FOFs</v>
      </c>
      <c r="B19" t="s">
        <v>33</v>
      </c>
      <c r="C19" s="1" t="s">
        <v>27</v>
      </c>
      <c r="D19" s="20">
        <v>0.05</v>
      </c>
    </row>
    <row r="20" spans="1:4" x14ac:dyDescent="0.25">
      <c r="A20" t="str">
        <f t="shared" si="0"/>
        <v>Agressivo-DESENVOLVIMENTO</v>
      </c>
      <c r="B20" t="s">
        <v>33</v>
      </c>
      <c r="C20" s="1" t="s">
        <v>28</v>
      </c>
      <c r="D20" s="20">
        <v>0.2</v>
      </c>
    </row>
    <row r="21" spans="1:4" x14ac:dyDescent="0.25">
      <c r="A21" t="str">
        <f t="shared" si="0"/>
        <v>Agressivo-HOTELARIAS</v>
      </c>
      <c r="B21" t="s">
        <v>33</v>
      </c>
      <c r="C21" s="1" t="s">
        <v>29</v>
      </c>
      <c r="D21" s="2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12</vt:i4>
      </vt:variant>
    </vt:vector>
  </HeadingPairs>
  <TitlesOfParts>
    <vt:vector size="16" baseType="lpstr">
      <vt:lpstr>Perguntas de Negócio</vt:lpstr>
      <vt:lpstr>Dashboard</vt:lpstr>
      <vt:lpstr>FIIs Controls</vt:lpstr>
      <vt:lpstr>Tabelas de Apoio</vt:lpstr>
      <vt:lpstr>aporte</vt:lpstr>
      <vt:lpstr>Dividendos_mensais</vt:lpstr>
      <vt:lpstr>patrimonio</vt:lpstr>
      <vt:lpstr>perfil</vt:lpstr>
      <vt:lpstr>perfil_investidor</vt:lpstr>
      <vt:lpstr>qtd_anos</vt:lpstr>
      <vt:lpstr>rendimento_carteira</vt:lpstr>
      <vt:lpstr>salario</vt:lpstr>
      <vt:lpstr>sugestao_investimento</vt:lpstr>
      <vt:lpstr>sungestao</vt:lpstr>
      <vt:lpstr>sungestao_investimento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NIKSON CALAZANS DE MORAES</dc:creator>
  <cp:lastModifiedBy>NIKSON CALAZANS DE MORAES</cp:lastModifiedBy>
  <dcterms:created xsi:type="dcterms:W3CDTF">2026-01-15T21:49:52Z</dcterms:created>
  <dcterms:modified xsi:type="dcterms:W3CDTF">2026-01-20T23:55:15Z</dcterms:modified>
</cp:coreProperties>
</file>